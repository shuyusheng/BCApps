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temp\Microsoft - TEMPORARY\Yellowstone.Dan\app\Inventory\Reports\"/>
    </mc:Choice>
  </mc:AlternateContent>
  <xr:revisionPtr revIDLastSave="0" documentId="13_ncr:1_{29D10612-AD95-43B2-BC62-547809EBC64D}" xr6:coauthVersionLast="47" xr6:coauthVersionMax="47" xr10:uidLastSave="{00000000-0000-0000-0000-000000000000}"/>
  <bookViews>
    <workbookView xWindow="-18792" yWindow="-17388" windowWidth="30936" windowHeight="16776" xr2:uid="{00000000-000D-0000-FFFF-FFFF00000000}"/>
  </bookViews>
  <sheets>
    <sheet name="$EffectPermsOverviewPrintLbl$" sheetId="7" r:id="rId1"/>
    <sheet name="$EffectPermOverviewAnalysisLbl$" sheetId="8" r:id="rId2"/>
    <sheet name="$AboutTheReportLbl$" sheetId="6" r:id="rId3"/>
    <sheet name="EffectivePermissionsOverview_Qu" sheetId="5" state="hidden" r:id="rId4"/>
    <sheet name="Data" sheetId="1" state="hidden" r:id="rId5"/>
    <sheet name="TranslationData" sheetId="2" state="hidden" r:id="rId6"/>
    <sheet name="CaptionData" sheetId="3" state="hidden" r:id="rId7"/>
    <sheet name="Aggregated Metadata" sheetId="4" state="hidden" r:id="rId8"/>
  </sheets>
  <definedNames>
    <definedName name="CompanyFilterHeading">_xlfn.XLOOKUP("CompanyFilterHeading", ReportRequestPageValues[Request Page Option], ReportRequestPageValues[Request Page Option Value])</definedName>
    <definedName name="EffectivePermissionsFilterHeading">_xlfn.XLOOKUP("EffectivePermissionsFilterHeading", ReportRequestPageValues[Request Page Option], ReportRequestPageValues[Request Page Option Value])</definedName>
    <definedName name="EndDateText" xml:space="preserve"> _xlfn.XLOOKUP("EndDateText",#REF!,#REF!)</definedName>
    <definedName name="ExternalData_1" localSheetId="3" hidden="1">EffectivePermissionsOverview_Qu!$A$1:$J$2</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howExpected" xml:space="preserve"> _xlfn.XLOOKUP("ShowExpected",#REF!,#REF!)</definedName>
    <definedName name="Slicer_ObjectName">#N/A</definedName>
    <definedName name="Slicer_ObjectType">#N/A</definedName>
    <definedName name="StartDateText" xml:space="preserve"> _xlfn.XLOOKUP("StartDateText",#REF!,#REF!)</definedName>
  </definedNames>
  <calcPr calcId="191029"/>
  <pivotCaches>
    <pivotCache cacheId="1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7" l="1" a="1"/>
  <c r="B5" i="7" s="1"/>
  <c r="B4" i="7" a="1"/>
  <c r="B4" i="7" s="1"/>
  <c r="G4" i="7" a="1"/>
  <c r="G4" i="7" s="1"/>
  <c r="H2" i="7" a="1"/>
  <c r="H2" i="7" s="1"/>
  <c r="H4" i="7" a="1"/>
  <c r="H4" i="7" s="1"/>
  <c r="B7" i="6"/>
  <c r="B6" i="6" a="1"/>
  <c r="B6" i="6" s="1"/>
  <c r="B5" i="6" a="1"/>
  <c r="B5" i="6" s="1"/>
  <c r="B4" i="6" a="1"/>
  <c r="B4" i="6" s="1"/>
  <c r="B3" i="6" a="1"/>
  <c r="B3" i="6" s="1"/>
  <c r="B2" i="6" a="1"/>
  <c r="B2" i="6" s="1"/>
  <c r="B1" i="6" a="1"/>
  <c r="B1"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84C306-8419-4B21-993B-3D517A71088A}" keepAlive="1" name="Query - EffectivePermissionsOverview_Query" description="Connection to the 'EffectivePermissionsOverview_Query' query in the workbook." type="5" refreshedVersion="8" refreshOnLoad="1" saveData="1">
    <dbPr connection="Provider=Microsoft.Mashup.OleDb.1;Data Source=$Workbook$;Location=EffectivePermissionsOverview_Query;Extended Properties=&quot;&quot;" command="SELECT * FROM [EffectivePermissionsOverview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<sst xmlns="http://schemas.openxmlformats.org/spreadsheetml/2006/main" count="130" uniqueCount="90">
  <si>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</si>
  <si>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</si>
  <si>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</si>
  <si>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</si>
  <si>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</si>
  <si>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</si>
  <si>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</si>
  <si>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</si>
  <si>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</si>
  <si>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</si>
  <si>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</si>
  <si>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</si>
  <si>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</si>
  <si>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</si>
  <si>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</si>
  <si>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</si>
  <si>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</si>
  <si>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</si>
  <si>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</si>
  <si>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</si>
  <si>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</si>
  <si>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</si>
  <si>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</si>
  <si>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</si>
  <si>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</si>
  <si>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</si>
  <si>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</si>
  <si>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</si>
  <si>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</si>
  <si>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</si>
  <si>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</si>
  <si>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</si>
  <si>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</si>
  <si>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</si>
  <si>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</si>
  <si>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</si>
  <si>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</si>
  <si>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</si>
  <si>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</si>
  <si>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</si>
  <si>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</si>
  <si>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</si>
  <si>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</si>
  <si>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</si>
  <si>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</si>
  <si>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</si>
  <si>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</si>
  <si>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</si>
  <si>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</si>
  <si>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</si>
  <si>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</si>
  <si>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</si>
  <si>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</si>
  <si>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</si>
  <si>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</si>
  <si>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</si>
  <si>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</si>
  <si>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</si>
  <si>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</si>
  <si>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</si>
  <si>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</si>
  <si>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</si>
  <si>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</si>
  <si>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</si>
  <si>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Company</t>
  </si>
  <si>
    <t>UserName</t>
  </si>
  <si>
    <t>ObjectType</t>
  </si>
  <si>
    <t>ObjectID</t>
  </si>
  <si>
    <t>ObjectName</t>
  </si>
  <si>
    <t>ReadPermission</t>
  </si>
  <si>
    <t>InsertPermission</t>
  </si>
  <si>
    <t>ModifyPermission</t>
  </si>
  <si>
    <t>DeletePermission</t>
  </si>
  <si>
    <t>ExecutePermission</t>
  </si>
  <si>
    <t/>
  </si>
  <si>
    <t>$EnvironmentLbl$</t>
  </si>
  <si>
    <t>$CompanyLbl$</t>
  </si>
  <si>
    <t>$UserLbl$</t>
  </si>
  <si>
    <t>$RunOnLbl$</t>
  </si>
  <si>
    <t>$ReportNameLbl$</t>
  </si>
  <si>
    <t>$DocumentationLbl$</t>
  </si>
  <si>
    <t>(blank)</t>
  </si>
  <si>
    <t>$ObjectType$</t>
  </si>
  <si>
    <t>$ObjectName$</t>
  </si>
  <si>
    <t>$ReadPermission$</t>
  </si>
  <si>
    <t>$InsertPermission$</t>
  </si>
  <si>
    <t>$ModifyPermission$</t>
  </si>
  <si>
    <t>$DeletePermission$</t>
  </si>
  <si>
    <t>$ExecutePermission$</t>
  </si>
  <si>
    <t>$EffectPermOverviewLbl$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</si>
</sst>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3" x14ac:knownFonts="1">
    <font>
      <sz val="11"/>
      <name val="Segoe UI"/>
      <family val="2"/>
      <scheme val="minor"/>
    </font>
    <font>
      <sz val="11"/>
      <color theme="1"/>
      <name val="Segoe UI"/>
      <family val="2"/>
      <scheme val="minor"/>
    </font>
    <font>
      <b/>
      <sz val="11"/>
      <name val="Segoe UI"/>
      <family val="2"/>
      <scheme val="minor"/>
    </font>
    <font>
      <sz val="10"/>
      <color theme="1"/>
      <name val="Segoe UI Semibold"/>
      <family val="2"/>
      <scheme val="major"/>
    </font>
    <font>
      <sz val="10"/>
      <name val="Segoe UI"/>
      <family val="2"/>
      <scheme val="minor"/>
    </font>
    <font>
      <u/>
      <sz val="11"/>
      <color theme="10"/>
      <name val="Segoe UI"/>
      <family val="2"/>
      <scheme val="minor"/>
    </font>
    <font>
      <u/>
      <sz val="10"/>
      <color theme="10"/>
      <name val="Segoe UI"/>
      <family val="2"/>
      <scheme val="minor"/>
    </font>
    <font>
      <b/>
      <sz val="18"/>
      <color rgb="FF212121"/>
      <name val="Segoe UI Semibold"/>
      <family val="2"/>
      <scheme val="major"/>
    </font>
    <font>
      <b/>
      <sz val="13"/>
      <color theme="1"/>
      <name val="Segoe UI"/>
      <family val="2"/>
      <scheme val="minor"/>
    </font>
    <font>
      <b/>
      <sz val="10"/>
      <color theme="1"/>
      <name val="Segoe UI Semibold"/>
      <family val="2"/>
      <scheme val="major"/>
    </font>
    <font>
      <sz val="10"/>
      <color rgb="FF212121"/>
      <name val="Segoe UI"/>
      <family val="2"/>
      <scheme val="minor"/>
    </font>
    <font>
      <sz val="14"/>
      <name val="Segoe UI"/>
      <family val="2"/>
      <scheme val="minor"/>
    </font>
    <font>
      <sz val="10"/>
      <name val="Segoe UI Semibold"/>
      <scheme val="major"/>
    </font>
  </fonts>
  <fills count="3">
    <fill>
      <patternFill patternType="none"/>
    </fill>
    <fill>
      <patternFill patternType="gray125"/>
    </fill>
    <fill>
      <patternFill patternType="solid">
        <fgColor rgb="FFC0C0C0"/>
        <bgColor indexed="64"/>
      </patternFill>
    </fill>
  </fills>
  <borders count="2">
    <border>
      <left/>
      <right/>
      <top/>
      <bottom/>
      <diagonal/>
    </border>
    <border>
      <left/>
      <right/>
      <top/>
      <bottom style="thick">
        <color theme="4" tint="0.499984740745262"/>
      </bottom>
      <diagonal/>
    </border>
  </borders>
  <cellStyleXfs count="4">
    <xf numFmtId="0" fontId="0" fillId="0" borderId="0"/>
    <xf numFmtId="0" fontId="5" fillId="0" borderId="0" applyNumberFormat="0" applyFill="0" applyBorder="0" applyAlignment="0" applyProtection="0"/>
    <xf numFmtId="0" fontId="1" fillId="0" borderId="0"/>
    <xf numFmtId="0" fontId="8" fillId="0" borderId="1" applyNumberFormat="0" applyFill="0" applyAlignment="0" applyProtection="0"/>
  </cellStyleXfs>
  <cellXfs count="16">
    <xf numFmtId="0" fontId="0" fillId="0" borderId="0" xfId="0"/>
    <xf numFmtId="49" fontId="2" fillId="2" borderId="0" xfId="0" applyNumberFormat="1" applyFont="1" applyFill="1"/>
    <xf numFmtId="2" fontId="0" fillId="0" borderId="0" xfId="0" applyNumberFormat="1"/>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left" vertical="center"/>
    </xf>
    <xf numFmtId="164" fontId="4" fillId="0" borderId="0" xfId="0" applyNumberFormat="1" applyFont="1" applyAlignment="1">
      <alignment horizontal="left" vertical="center"/>
    </xf>
    <xf numFmtId="165" fontId="4" fillId="0" borderId="0" xfId="0" applyNumberFormat="1" applyFont="1" applyAlignment="1">
      <alignment horizontal="left" vertical="center"/>
    </xf>
    <xf numFmtId="0" fontId="7" fillId="0" borderId="0" xfId="2" applyFont="1" applyAlignment="1">
      <alignment vertical="center"/>
    </xf>
    <xf numFmtId="0" fontId="9" fillId="0" borderId="1" xfId="3" applyFont="1" applyAlignment="1">
      <alignment horizontal="right" vertical="center"/>
    </xf>
    <xf numFmtId="0" fontId="10" fillId="0" borderId="0" xfId="0" applyFont="1" applyAlignment="1">
      <alignment horizontal="right" vertical="center"/>
    </xf>
    <xf numFmtId="164" fontId="10" fillId="0" borderId="0" xfId="0" applyNumberFormat="1" applyFont="1" applyAlignment="1">
      <alignment horizontal="right" vertical="center"/>
    </xf>
    <xf numFmtId="0" fontId="11" fillId="0" borderId="0" xfId="0" applyFont="1"/>
    <xf numFmtId="0" fontId="0" fillId="0" borderId="0" xfId="0" applyAlignment="1">
      <alignment vertical="center"/>
    </xf>
    <xf numFmtId="0" fontId="12" fillId="0" borderId="0" xfId="0" pivotButton="1" applyFont="1" applyAlignment="1">
      <alignment vertical="center"/>
    </xf>
    <xf numFmtId="0" fontId="6" fillId="0" borderId="0" xfId="1" applyFont="1" applyAlignment="1">
      <alignment horizontal="left" vertical="center"/>
    </xf>
  </cellXfs>
  <cellStyles count="4">
    <cellStyle name="Heading 2 2" xfId="3" xr:uid="{36BD3AA6-0812-4CE4-B64F-3D91559374FD}"/>
    <cellStyle name="Hyperlink" xfId="1" builtinId="8"/>
    <cellStyle name="Normal" xfId="0" builtinId="0"/>
    <cellStyle name="Normal 2" xfId="2" xr:uid="{55193DB1-05A2-4115-ACF8-9DAF379580AC}"/>
  </cellStyles>
  <dxfs count="177">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Table Style (Template)" table="0" count="4" xr9:uid="{6CFD9165-B427-41D2-BB87-E6924DC2EE7A}">
      <tableStyleElement type="wholeTable" dxfId="176"/>
      <tableStyleElement type="headerRow" dxfId="175"/>
      <tableStyleElement type="totalRow" dxfId="174"/>
      <tableStyleElement type="secondRowStripe" dxfId="173"/>
    </tableStyle>
    <tableStyle name="Business Central Reports Slicer Style (Template)" pivot="0" table="0" count="10" xr9:uid="{DFBFE3E5-382C-443E-B6D7-604BBDD7683A}">
      <tableStyleElement type="wholeTable" dxfId="172"/>
      <tableStyleElement type="headerRow" dxfId="171"/>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1815460</xdr:colOff>
      <xdr:row>9</xdr:row>
      <xdr:rowOff>210970</xdr:rowOff>
    </xdr:to>
    <mc:AlternateContent xmlns:mc="http://schemas.openxmlformats.org/markup-compatibility/2006" xmlns:a14="http://schemas.microsoft.com/office/drawing/2010/main">
      <mc:Choice Requires="a14">
        <xdr:graphicFrame macro="">
          <xdr:nvGraphicFramePr>
            <xdr:cNvPr id="2" name="$ObjectType$">
              <a:extLst>
                <a:ext uri="{FF2B5EF4-FFF2-40B4-BE49-F238E27FC236}">
                  <a16:creationId xmlns:a16="http://schemas.microsoft.com/office/drawing/2014/main" id="{70A98C06-642F-19F7-2043-6C92A6F7B8C3}"/>
                </a:ext>
              </a:extLst>
            </xdr:cNvPr>
            <xdr:cNvGraphicFramePr/>
          </xdr:nvGraphicFramePr>
          <xdr:xfrm>
            <a:off x="0" y="0"/>
            <a:ext cx="0" cy="0"/>
          </xdr:xfrm>
          <a:graphic>
            <a:graphicData uri="http://schemas.microsoft.com/office/drawing/2010/slicer">
              <sle:slicer xmlns:sle="http://schemas.microsoft.com/office/drawing/2010/slicer" name="$ObjectType$"/>
            </a:graphicData>
          </a:graphic>
        </xdr:graphicFrame>
      </mc:Choice>
      <mc:Fallback xmlns="">
        <xdr:sp macro="" textlink="">
          <xdr:nvSpPr>
            <xdr:cNvPr id="0" name=""/>
            <xdr:cNvSpPr>
              <a:spLocks noTextEdit="1"/>
            </xdr:cNvSpPr>
          </xdr:nvSpPr>
          <xdr:spPr>
            <a:xfrm>
              <a:off x="0" y="0"/>
              <a:ext cx="1812920" cy="261508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9</xdr:row>
      <xdr:rowOff>260350</xdr:rowOff>
    </xdr:from>
    <xdr:to>
      <xdr:col>0</xdr:col>
      <xdr:colOff>1816730</xdr:colOff>
      <xdr:row>19</xdr:row>
      <xdr:rowOff>199540</xdr:rowOff>
    </xdr:to>
    <mc:AlternateContent xmlns:mc="http://schemas.openxmlformats.org/markup-compatibility/2006" xmlns:a14="http://schemas.microsoft.com/office/drawing/2010/main">
      <mc:Choice Requires="a14">
        <xdr:graphicFrame macro="">
          <xdr:nvGraphicFramePr>
            <xdr:cNvPr id="3" name="$ObjectName$">
              <a:extLst>
                <a:ext uri="{FF2B5EF4-FFF2-40B4-BE49-F238E27FC236}">
                  <a16:creationId xmlns:a16="http://schemas.microsoft.com/office/drawing/2014/main" id="{BC025E37-A891-2204-7B63-A92763043AF9}"/>
                </a:ext>
              </a:extLst>
            </xdr:cNvPr>
            <xdr:cNvGraphicFramePr/>
          </xdr:nvGraphicFramePr>
          <xdr:xfrm>
            <a:off x="0" y="0"/>
            <a:ext cx="0" cy="0"/>
          </xdr:xfrm>
          <a:graphic>
            <a:graphicData uri="http://schemas.microsoft.com/office/drawing/2010/slicer">
              <sle:slicer xmlns:sle="http://schemas.microsoft.com/office/drawing/2010/slicer" name="$ObjectName$"/>
            </a:graphicData>
          </a:graphic>
        </xdr:graphicFrame>
      </mc:Choice>
      <mc:Fallback xmlns="">
        <xdr:sp macro="" textlink="">
          <xdr:nvSpPr>
            <xdr:cNvPr id="0" name=""/>
            <xdr:cNvSpPr>
              <a:spLocks noTextEdit="1"/>
            </xdr:cNvSpPr>
          </xdr:nvSpPr>
          <xdr:spPr>
            <a:xfrm>
              <a:off x="0" y="2659380"/>
              <a:ext cx="1814190" cy="260873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 Williams" refreshedDate="46325.642634837961" createdVersion="8" refreshedVersion="8" minRefreshableVersion="3" recordCount="1" xr:uid="{2A677AD5-198E-428A-AAD0-DA940331F725}">
  <cacheSource type="worksheet">
    <worksheetSource name="EffectivePermissionsOverview_Query"/>
  </cacheSource>
  <cacheFields count="10">
    <cacheField name="Company" numFmtId="0">
      <sharedItems/>
    </cacheField>
    <cacheField name="UserName" numFmtId="0">
      <sharedItems/>
    </cacheField>
    <cacheField name="ObjectType" numFmtId="0">
      <sharedItems containsNonDate="0" containsString="0" containsBlank="1" count="1">
        <m/>
      </sharedItems>
    </cacheField>
    <cacheField name="ObjectID" numFmtId="0">
      <sharedItems containsSemiMixedTypes="0" containsString="0" containsNumber="1" containsInteger="1" minValue="0" maxValue="0"/>
    </cacheField>
    <cacheField name="ObjectName" numFmtId="0">
      <sharedItems count="1">
        <s v=""/>
      </sharedItems>
    </cacheField>
    <cacheField name="ReadPermission" numFmtId="0">
      <sharedItems containsNonDate="0" containsString="0" containsBlank="1" count="1">
        <m/>
      </sharedItems>
    </cacheField>
    <cacheField name="InsertPermission" numFmtId="0">
      <sharedItems containsNonDate="0" containsString="0" containsBlank="1" count="1">
        <m/>
      </sharedItems>
    </cacheField>
    <cacheField name="ModifyPermission" numFmtId="0">
      <sharedItems containsNonDate="0" containsString="0" containsBlank="1" count="1">
        <m/>
      </sharedItems>
    </cacheField>
    <cacheField name="DeletePermission" numFmtId="0">
      <sharedItems containsNonDate="0" containsString="0" containsBlank="1" count="1">
        <m/>
      </sharedItems>
    </cacheField>
    <cacheField name="ExecutePermission" numFmtId="0">
      <sharedItems containsNonDate="0" containsString="0" containsBlank="1" count="1">
        <m/>
      </sharedItems>
    </cacheField>
  </cacheFields>
  <extLst>
    <ext xmlns:x14="http://schemas.microsoft.com/office/spreadsheetml/2009/9/main" uri="{725AE2AE-9491-48be-B2B4-4EB974FC3084}">
      <x14:pivotCacheDefinition pivotCacheId="1631925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s v=""/>
    <s v=""/>
    <x v="0"/>
    <n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91A145-4B11-4357-9898-1F77EAD4D0CD}" name="PivotTable1" cacheId="1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7:H8" firstHeaderRow="1" firstDataRow="1" firstDataCol="7"/>
  <pivotFields count="10">
    <pivotField compact="0" outline="0" showAll="0" defaultSubtotal="0"/>
    <pivotField compact="0" outline="0" showAll="0" defaultSubtotal="0"/>
    <pivotField name="$ObjectType$" axis="axisRow" compact="0" outline="0" showAll="0" defaultSubtotal="0">
      <items count="1">
        <item x="0"/>
      </items>
    </pivotField>
    <pivotField compact="0" outline="0" showAll="0" defaultSubtotal="0"/>
    <pivotField name="$ObjectName$" axis="axisRow" compact="0" outline="0" showAll="0" defaultSubtotal="0">
      <items count="1">
        <item x="0"/>
      </items>
    </pivotField>
    <pivotField name="$ReadPermission$" axis="axisRow" compact="0" outline="0" showAll="0" defaultSubtotal="0">
      <items count="1">
        <item x="0"/>
      </items>
    </pivotField>
    <pivotField name="$InsertPermission$" axis="axisRow" compact="0" outline="0" showAll="0" defaultSubtotal="0">
      <items count="1">
        <item x="0"/>
      </items>
    </pivotField>
    <pivotField name="$ModifyPermission$" axis="axisRow" compact="0" outline="0" showAll="0" defaultSubtotal="0">
      <items count="1">
        <item x="0"/>
      </items>
    </pivotField>
    <pivotField name="$DeletePermission$" axis="axisRow" compact="0" outline="0" showAll="0" defaultSubtotal="0">
      <items count="1">
        <item x="0"/>
      </items>
    </pivotField>
    <pivotField name="$ExecutePermission$" axis="axisRow" compact="0" outline="0" showAll="0" defaultSubtotal="0">
      <items count="1">
        <item x="0"/>
      </items>
    </pivotField>
  </pivotFields>
  <rowFields count="7">
    <field x="2"/>
    <field x="4"/>
    <field x="5"/>
    <field x="6"/>
    <field x="7"/>
    <field x="8"/>
    <field x="9"/>
  </rowFields>
  <rowItems count="1">
    <i>
      <x/>
      <x/>
      <x/>
      <x/>
      <x/>
      <x/>
      <x/>
    </i>
  </rowItems>
  <colItems count="1">
    <i/>
  </colItems>
  <formats count="37">
    <format dxfId="170">
      <pivotArea type="all" dataOnly="0" outline="0" fieldPosition="0"/>
    </format>
    <format dxfId="169">
      <pivotArea field="2" type="button" dataOnly="0" labelOnly="1" outline="0" axis="axisRow" fieldPosition="0"/>
    </format>
    <format dxfId="168">
      <pivotArea field="4" type="button" dataOnly="0" labelOnly="1" outline="0" axis="axisRow" fieldPosition="1"/>
    </format>
    <format dxfId="167">
      <pivotArea field="5" type="button" dataOnly="0" labelOnly="1" outline="0" axis="axisRow" fieldPosition="2"/>
    </format>
    <format dxfId="166">
      <pivotArea field="6" type="button" dataOnly="0" labelOnly="1" outline="0" axis="axisRow" fieldPosition="3"/>
    </format>
    <format dxfId="165">
      <pivotArea field="7" type="button" dataOnly="0" labelOnly="1" outline="0" axis="axisRow" fieldPosition="4"/>
    </format>
    <format dxfId="164">
      <pivotArea field="8" type="button" dataOnly="0" labelOnly="1" outline="0" axis="axisRow" fieldPosition="5"/>
    </format>
    <format dxfId="163">
      <pivotArea field="9" type="button" dataOnly="0" labelOnly="1" outline="0" axis="axisRow" fieldPosition="6"/>
    </format>
    <format dxfId="162">
      <pivotArea dataOnly="0" labelOnly="1" outline="0" fieldPosition="0">
        <references count="1">
          <reference field="2" count="0"/>
        </references>
      </pivotArea>
    </format>
    <format dxfId="161">
      <pivotArea dataOnly="0" labelOnly="1" outline="0" fieldPosition="0">
        <references count="2">
          <reference field="2" count="0" selected="0"/>
          <reference field="4" count="0"/>
        </references>
      </pivotArea>
    </format>
    <format dxfId="160">
      <pivotArea dataOnly="0" labelOnly="1" outline="0" fieldPosition="0">
        <references count="3">
          <reference field="2" count="0" selected="0"/>
          <reference field="4" count="0" selected="0"/>
          <reference field="5" count="0"/>
        </references>
      </pivotArea>
    </format>
    <format dxfId="159">
      <pivotArea dataOnly="0" labelOnly="1" outline="0" fieldPosition="0">
        <references count="4">
          <reference field="2" count="0" selected="0"/>
          <reference field="4" count="0" selected="0"/>
          <reference field="5" count="0" selected="0"/>
          <reference field="6" count="0"/>
        </references>
      </pivotArea>
    </format>
    <format dxfId="158">
      <pivotArea dataOnly="0" labelOnly="1" outline="0" fieldPosition="0">
        <references count="5">
          <reference field="2" count="0" selected="0"/>
          <reference field="4" count="0" selected="0"/>
          <reference field="5" count="0" selected="0"/>
          <reference field="6" count="0" selected="0"/>
          <reference field="7" count="0"/>
        </references>
      </pivotArea>
    </format>
    <format dxfId="157">
      <pivotArea dataOnly="0" labelOnly="1" outline="0" fieldPosition="0">
        <references count="6">
          <reference field="2" count="0" selected="0"/>
          <reference field="4" count="0" selected="0"/>
          <reference field="5" count="0" selected="0"/>
          <reference field="6" count="0" selected="0"/>
          <reference field="7" count="0" selected="0"/>
          <reference field="8" count="0"/>
        </references>
      </pivotArea>
    </format>
    <format dxfId="156">
      <pivotArea dataOnly="0" labelOnly="1" outline="0" fieldPosition="0">
        <references count="7">
          <reference field="2" count="0" selected="0"/>
          <reference field="4" count="0" selected="0"/>
          <reference field="5" count="0" selected="0"/>
          <reference field="6" count="0" selected="0"/>
          <reference field="7" count="0" selected="0"/>
          <reference field="8" count="0" selected="0"/>
          <reference field="9" count="0"/>
        </references>
      </pivotArea>
    </format>
    <format dxfId="155">
      <pivotArea type="all" dataOnly="0" outline="0" fieldPosition="0"/>
    </format>
    <format dxfId="154">
      <pivotArea field="2" type="button" dataOnly="0" labelOnly="1" outline="0" axis="axisRow" fieldPosition="0"/>
    </format>
    <format dxfId="153">
      <pivotArea field="4" type="button" dataOnly="0" labelOnly="1" outline="0" axis="axisRow" fieldPosition="1"/>
    </format>
    <format dxfId="152">
      <pivotArea field="5" type="button" dataOnly="0" labelOnly="1" outline="0" axis="axisRow" fieldPosition="2"/>
    </format>
    <format dxfId="151">
      <pivotArea field="6" type="button" dataOnly="0" labelOnly="1" outline="0" axis="axisRow" fieldPosition="3"/>
    </format>
    <format dxfId="150">
      <pivotArea field="7" type="button" dataOnly="0" labelOnly="1" outline="0" axis="axisRow" fieldPosition="4"/>
    </format>
    <format dxfId="149">
      <pivotArea field="8" type="button" dataOnly="0" labelOnly="1" outline="0" axis="axisRow" fieldPosition="5"/>
    </format>
    <format dxfId="148">
      <pivotArea field="9" type="button" dataOnly="0" labelOnly="1" outline="0" axis="axisRow" fieldPosition="6"/>
    </format>
    <format dxfId="147">
      <pivotArea dataOnly="0" labelOnly="1" outline="0" fieldPosition="0">
        <references count="1">
          <reference field="2" count="0"/>
        </references>
      </pivotArea>
    </format>
    <format dxfId="146">
      <pivotArea dataOnly="0" labelOnly="1" outline="0" fieldPosition="0">
        <references count="2">
          <reference field="2" count="0" selected="0"/>
          <reference field="4" count="0"/>
        </references>
      </pivotArea>
    </format>
    <format dxfId="145">
      <pivotArea dataOnly="0" labelOnly="1" outline="0" fieldPosition="0">
        <references count="3">
          <reference field="2" count="0" selected="0"/>
          <reference field="4" count="0" selected="0"/>
          <reference field="5" count="0"/>
        </references>
      </pivotArea>
    </format>
    <format dxfId="144">
      <pivotArea dataOnly="0" labelOnly="1" outline="0" fieldPosition="0">
        <references count="4">
          <reference field="2" count="0" selected="0"/>
          <reference field="4" count="0" selected="0"/>
          <reference field="5" count="0" selected="0"/>
          <reference field="6" count="0"/>
        </references>
      </pivotArea>
    </format>
    <format dxfId="143">
      <pivotArea dataOnly="0" labelOnly="1" outline="0" fieldPosition="0">
        <references count="5">
          <reference field="2" count="0" selected="0"/>
          <reference field="4" count="0" selected="0"/>
          <reference field="5" count="0" selected="0"/>
          <reference field="6" count="0" selected="0"/>
          <reference field="7" count="0"/>
        </references>
      </pivotArea>
    </format>
    <format dxfId="142">
      <pivotArea dataOnly="0" labelOnly="1" outline="0" fieldPosition="0">
        <references count="6">
          <reference field="2" count="0" selected="0"/>
          <reference field="4" count="0" selected="0"/>
          <reference field="5" count="0" selected="0"/>
          <reference field="6" count="0" selected="0"/>
          <reference field="7" count="0" selected="0"/>
          <reference field="8" count="0"/>
        </references>
      </pivotArea>
    </format>
    <format dxfId="141">
      <pivotArea dataOnly="0" labelOnly="1" outline="0" fieldPosition="0">
        <references count="7">
          <reference field="2" count="0" selected="0"/>
          <reference field="4" count="0" selected="0"/>
          <reference field="5" count="0" selected="0"/>
          <reference field="6" count="0" selected="0"/>
          <reference field="7" count="0" selected="0"/>
          <reference field="8" count="0" selected="0"/>
          <reference field="9" count="0"/>
        </references>
      </pivotArea>
    </format>
    <format dxfId="140">
      <pivotArea field="2" type="button" dataOnly="0" labelOnly="1" outline="0" axis="axisRow" fieldPosition="0"/>
    </format>
    <format dxfId="139">
      <pivotArea field="4" type="button" dataOnly="0" labelOnly="1" outline="0" axis="axisRow" fieldPosition="1"/>
    </format>
    <format dxfId="138">
      <pivotArea field="5" type="button" dataOnly="0" labelOnly="1" outline="0" axis="axisRow" fieldPosition="2"/>
    </format>
    <format dxfId="137">
      <pivotArea field="6" type="button" dataOnly="0" labelOnly="1" outline="0" axis="axisRow" fieldPosition="3"/>
    </format>
    <format dxfId="136">
      <pivotArea field="7" type="button" dataOnly="0" labelOnly="1" outline="0" axis="axisRow" fieldPosition="4"/>
    </format>
    <format dxfId="135">
      <pivotArea field="8" type="button" dataOnly="0" labelOnly="1" outline="0" axis="axisRow" fieldPosition="5"/>
    </format>
    <format dxfId="134">
      <pivotArea field="9" type="button" dataOnly="0" labelOnly="1" outline="0" axis="axisRow" fieldPosition="6"/>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38A1BB-D3FB-47D8-959C-407C805E51D8}" name="PivotTable1" cacheId="1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1:H2" firstHeaderRow="1" firstDataRow="1" firstDataCol="7"/>
  <pivotFields count="10">
    <pivotField compact="0" outline="0" showAll="0" defaultSubtotal="0"/>
    <pivotField compact="0" outline="0" showAll="0" defaultSubtotal="0"/>
    <pivotField name="$ObjectType$" axis="axisRow" compact="0" outline="0" showAll="0" defaultSubtotal="0">
      <items count="1">
        <item x="0"/>
      </items>
    </pivotField>
    <pivotField compact="0" outline="0" showAll="0" defaultSubtotal="0"/>
    <pivotField name="$ObjectName$" axis="axisRow" compact="0" outline="0" showAll="0" defaultSubtotal="0">
      <items count="1">
        <item x="0"/>
      </items>
    </pivotField>
    <pivotField name="$ReadPermission$" axis="axisRow" compact="0" outline="0" showAll="0" defaultSubtotal="0">
      <items count="1">
        <item x="0"/>
      </items>
    </pivotField>
    <pivotField name="$InsertPermission$" axis="axisRow" compact="0" outline="0" showAll="0" defaultSubtotal="0">
      <items count="1">
        <item x="0"/>
      </items>
    </pivotField>
    <pivotField name="$ModifyPermission$" axis="axisRow" compact="0" outline="0" showAll="0" defaultSubtotal="0">
      <items count="1">
        <item x="0"/>
      </items>
    </pivotField>
    <pivotField name="$DeletePermission$" axis="axisRow" compact="0" outline="0" showAll="0" defaultSubtotal="0">
      <items count="1">
        <item x="0"/>
      </items>
    </pivotField>
    <pivotField name="$ExecutePermission$" axis="axisRow" compact="0" outline="0" showAll="0" defaultSubtotal="0">
      <items count="1">
        <item x="0"/>
      </items>
    </pivotField>
  </pivotFields>
  <rowFields count="7">
    <field x="2"/>
    <field x="4"/>
    <field x="5"/>
    <field x="6"/>
    <field x="7"/>
    <field x="8"/>
    <field x="9"/>
  </rowFields>
  <rowItems count="1">
    <i>
      <x/>
      <x/>
      <x/>
      <x/>
      <x/>
      <x/>
      <x/>
    </i>
  </rowItems>
  <colItems count="1">
    <i/>
  </colItems>
  <formats count="37">
    <format dxfId="133">
      <pivotArea type="all" dataOnly="0" outline="0" fieldPosition="0"/>
    </format>
    <format dxfId="132">
      <pivotArea field="2" type="button" dataOnly="0" labelOnly="1" outline="0" axis="axisRow" fieldPosition="0"/>
    </format>
    <format dxfId="131">
      <pivotArea field="4" type="button" dataOnly="0" labelOnly="1" outline="0" axis="axisRow" fieldPosition="1"/>
    </format>
    <format dxfId="130">
      <pivotArea field="5" type="button" dataOnly="0" labelOnly="1" outline="0" axis="axisRow" fieldPosition="2"/>
    </format>
    <format dxfId="129">
      <pivotArea field="6" type="button" dataOnly="0" labelOnly="1" outline="0" axis="axisRow" fieldPosition="3"/>
    </format>
    <format dxfId="128">
      <pivotArea field="7" type="button" dataOnly="0" labelOnly="1" outline="0" axis="axisRow" fieldPosition="4"/>
    </format>
    <format dxfId="127">
      <pivotArea field="8" type="button" dataOnly="0" labelOnly="1" outline="0" axis="axisRow" fieldPosition="5"/>
    </format>
    <format dxfId="126">
      <pivotArea field="9" type="button" dataOnly="0" labelOnly="1" outline="0" axis="axisRow" fieldPosition="6"/>
    </format>
    <format dxfId="125">
      <pivotArea dataOnly="0" labelOnly="1" outline="0" fieldPosition="0">
        <references count="1">
          <reference field="2" count="0"/>
        </references>
      </pivotArea>
    </format>
    <format dxfId="124">
      <pivotArea dataOnly="0" labelOnly="1" outline="0" fieldPosition="0">
        <references count="2">
          <reference field="2" count="0" selected="0"/>
          <reference field="4" count="0"/>
        </references>
      </pivotArea>
    </format>
    <format dxfId="123">
      <pivotArea dataOnly="0" labelOnly="1" outline="0" fieldPosition="0">
        <references count="3">
          <reference field="2" count="0" selected="0"/>
          <reference field="4" count="0" selected="0"/>
          <reference field="5" count="0"/>
        </references>
      </pivotArea>
    </format>
    <format dxfId="122">
      <pivotArea dataOnly="0" labelOnly="1" outline="0" fieldPosition="0">
        <references count="4">
          <reference field="2" count="0" selected="0"/>
          <reference field="4" count="0" selected="0"/>
          <reference field="5" count="0" selected="0"/>
          <reference field="6" count="0"/>
        </references>
      </pivotArea>
    </format>
    <format dxfId="121">
      <pivotArea dataOnly="0" labelOnly="1" outline="0" fieldPosition="0">
        <references count="5">
          <reference field="2" count="0" selected="0"/>
          <reference field="4" count="0" selected="0"/>
          <reference field="5" count="0" selected="0"/>
          <reference field="6" count="0" selected="0"/>
          <reference field="7" count="0"/>
        </references>
      </pivotArea>
    </format>
    <format dxfId="120">
      <pivotArea dataOnly="0" labelOnly="1" outline="0" fieldPosition="0">
        <references count="6">
          <reference field="2" count="0" selected="0"/>
          <reference field="4" count="0" selected="0"/>
          <reference field="5" count="0" selected="0"/>
          <reference field="6" count="0" selected="0"/>
          <reference field="7" count="0" selected="0"/>
          <reference field="8" count="0"/>
        </references>
      </pivotArea>
    </format>
    <format dxfId="119">
      <pivotArea dataOnly="0" labelOnly="1" outline="0" fieldPosition="0">
        <references count="7">
          <reference field="2" count="0" selected="0"/>
          <reference field="4" count="0" selected="0"/>
          <reference field="5" count="0" selected="0"/>
          <reference field="6" count="0" selected="0"/>
          <reference field="7" count="0" selected="0"/>
          <reference field="8" count="0" selected="0"/>
          <reference field="9" count="0"/>
        </references>
      </pivotArea>
    </format>
    <format dxfId="118">
      <pivotArea type="all" dataOnly="0" outline="0" fieldPosition="0"/>
    </format>
    <format dxfId="117">
      <pivotArea field="2" type="button" dataOnly="0" labelOnly="1" outline="0" axis="axisRow" fieldPosition="0"/>
    </format>
    <format dxfId="116">
      <pivotArea field="4" type="button" dataOnly="0" labelOnly="1" outline="0" axis="axisRow" fieldPosition="1"/>
    </format>
    <format dxfId="115">
      <pivotArea field="5" type="button" dataOnly="0" labelOnly="1" outline="0" axis="axisRow" fieldPosition="2"/>
    </format>
    <format dxfId="114">
      <pivotArea field="6" type="button" dataOnly="0" labelOnly="1" outline="0" axis="axisRow" fieldPosition="3"/>
    </format>
    <format dxfId="113">
      <pivotArea field="7" type="button" dataOnly="0" labelOnly="1" outline="0" axis="axisRow" fieldPosition="4"/>
    </format>
    <format dxfId="112">
      <pivotArea field="8" type="button" dataOnly="0" labelOnly="1" outline="0" axis="axisRow" fieldPosition="5"/>
    </format>
    <format dxfId="111">
      <pivotArea field="9" type="button" dataOnly="0" labelOnly="1" outline="0" axis="axisRow" fieldPosition="6"/>
    </format>
    <format dxfId="110">
      <pivotArea dataOnly="0" labelOnly="1" outline="0" fieldPosition="0">
        <references count="1">
          <reference field="2" count="0"/>
        </references>
      </pivotArea>
    </format>
    <format dxfId="109">
      <pivotArea dataOnly="0" labelOnly="1" outline="0" fieldPosition="0">
        <references count="2">
          <reference field="2" count="0" selected="0"/>
          <reference field="4" count="0"/>
        </references>
      </pivotArea>
    </format>
    <format dxfId="108">
      <pivotArea dataOnly="0" labelOnly="1" outline="0" fieldPosition="0">
        <references count="3">
          <reference field="2" count="0" selected="0"/>
          <reference field="4" count="0" selected="0"/>
          <reference field="5" count="0"/>
        </references>
      </pivotArea>
    </format>
    <format dxfId="107">
      <pivotArea dataOnly="0" labelOnly="1" outline="0" fieldPosition="0">
        <references count="4">
          <reference field="2" count="0" selected="0"/>
          <reference field="4" count="0" selected="0"/>
          <reference field="5" count="0" selected="0"/>
          <reference field="6" count="0"/>
        </references>
      </pivotArea>
    </format>
    <format dxfId="106">
      <pivotArea dataOnly="0" labelOnly="1" outline="0" fieldPosition="0">
        <references count="5">
          <reference field="2" count="0" selected="0"/>
          <reference field="4" count="0" selected="0"/>
          <reference field="5" count="0" selected="0"/>
          <reference field="6" count="0" selected="0"/>
          <reference field="7" count="0"/>
        </references>
      </pivotArea>
    </format>
    <format dxfId="105">
      <pivotArea dataOnly="0" labelOnly="1" outline="0" fieldPosition="0">
        <references count="6">
          <reference field="2" count="0" selected="0"/>
          <reference field="4" count="0" selected="0"/>
          <reference field="5" count="0" selected="0"/>
          <reference field="6" count="0" selected="0"/>
          <reference field="7" count="0" selected="0"/>
          <reference field="8" count="0"/>
        </references>
      </pivotArea>
    </format>
    <format dxfId="104">
      <pivotArea dataOnly="0" labelOnly="1" outline="0" fieldPosition="0">
        <references count="7">
          <reference field="2" count="0" selected="0"/>
          <reference field="4" count="0" selected="0"/>
          <reference field="5" count="0" selected="0"/>
          <reference field="6" count="0" selected="0"/>
          <reference field="7" count="0" selected="0"/>
          <reference field="8" count="0" selected="0"/>
          <reference field="9" count="0"/>
        </references>
      </pivotArea>
    </format>
    <format dxfId="103">
      <pivotArea field="2" type="button" dataOnly="0" labelOnly="1" outline="0" axis="axisRow" fieldPosition="0"/>
    </format>
    <format dxfId="102">
      <pivotArea field="4" type="button" dataOnly="0" labelOnly="1" outline="0" axis="axisRow" fieldPosition="1"/>
    </format>
    <format dxfId="101">
      <pivotArea field="5" type="button" dataOnly="0" labelOnly="1" outline="0" axis="axisRow" fieldPosition="2"/>
    </format>
    <format dxfId="100">
      <pivotArea field="6" type="button" dataOnly="0" labelOnly="1" outline="0" axis="axisRow" fieldPosition="3"/>
    </format>
    <format dxfId="99">
      <pivotArea field="7" type="button" dataOnly="0" labelOnly="1" outline="0" axis="axisRow" fieldPosition="4"/>
    </format>
    <format dxfId="98">
      <pivotArea field="8" type="button" dataOnly="0" labelOnly="1" outline="0" axis="axisRow" fieldPosition="5"/>
    </format>
    <format dxfId="97">
      <pivotArea field="9" type="button" dataOnly="0" labelOnly="1" outline="0" axis="axisRow" fieldPosition="6"/>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8666C4A7-BF1C-4BB2-A011-034BC2C3D756}" autoFormatId="16" applyNumberFormats="0" applyBorderFormats="0" applyFontFormats="0" applyPatternFormats="0" applyAlignmentFormats="0" applyWidthHeightFormats="0">
  <queryTableRefresh nextId="11">
    <queryTableFields count="10">
      <queryTableField id="1" name="Company" tableColumnId="1"/>
      <queryTableField id="2" name="UserName" tableColumnId="2"/>
      <queryTableField id="3" name="ObjectType" tableColumnId="3"/>
      <queryTableField id="4" name="ObjectID" tableColumnId="4"/>
      <queryTableField id="5" name="ObjectName" tableColumnId="5"/>
      <queryTableField id="6" name="ReadPermission" tableColumnId="6"/>
      <queryTableField id="7" name="InsertPermission" tableColumnId="7"/>
      <queryTableField id="8" name="ModifyPermission" tableColumnId="8"/>
      <queryTableField id="9" name="DeletePermission" tableColumnId="9"/>
      <queryTableField id="10" name="ExecutePermissio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bjectType" xr10:uid="{13DC8707-A0A4-401F-B6E9-C6B42A68ACC1}" sourceName="ObjectType">
  <pivotTables>
    <pivotTable tabId="8" name="PivotTable1"/>
  </pivotTables>
  <data>
    <tabular pivotCacheId="1631925567"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bjectName" xr10:uid="{CBE6B4C8-F555-4301-8032-3989AD8BFCD9}" sourceName="ObjectName">
  <pivotTables>
    <pivotTable tabId="8" name="PivotTable1"/>
  </pivotTables>
  <data>
    <tabular pivotCacheId="1631925567"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bjectType$" xr10:uid="{7F1A9666-13AD-4BB5-8707-231BA7445B5D}" cache="Slicer_ObjectType" caption="$ObjectType$" style="Business Central Reports Slicer Style (Template)" rowHeight="273050"/>
  <slicer name="$ObjectName$" xr10:uid="{9670D75F-0C8D-4164-9434-8565B9FCE19C}" cache="Slicer_ObjectName" caption="$ObjectName$"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DF71F3-8EA3-492A-B546-7707E8E8F0F5}" name="EffectivePermissionsOverview_Query" displayName="EffectivePermissionsOverview_Query" ref="A1:J2" tableType="queryTable" totalsRowShown="0">
  <autoFilter ref="A1:J2" xr:uid="{DBDF71F3-8EA3-492A-B546-7707E8E8F0F5}"/>
  <tableColumns count="10">
    <tableColumn id="1" xr3:uid="{6F0C446F-2823-49CE-AFB5-3FDD8147CDC2}" uniqueName="1" name="Company" queryTableFieldId="1" dataDxfId="96"/>
    <tableColumn id="2" xr3:uid="{3719C6D8-C3F9-42C6-95A0-3A4B03973F4C}" uniqueName="2" name="UserName" queryTableFieldId="2" dataDxfId="95"/>
    <tableColumn id="3" xr3:uid="{AB0A6B40-A44E-49F9-819E-6ECD0FF8EAAE}" uniqueName="3" name="ObjectType" queryTableFieldId="3" dataDxfId="94"/>
    <tableColumn id="4" xr3:uid="{CFF7408B-00AC-4728-B702-7B9BBCCC1DCA}" uniqueName="4" name="ObjectID" queryTableFieldId="4"/>
    <tableColumn id="5" xr3:uid="{57903326-0EE3-4599-A818-C7D5115FCA99}" uniqueName="5" name="ObjectName" queryTableFieldId="5" dataDxfId="93"/>
    <tableColumn id="6" xr3:uid="{2F71A071-0974-40FD-B68E-5E796C94B952}" uniqueName="6" name="ReadPermission" queryTableFieldId="6" dataDxfId="92"/>
    <tableColumn id="7" xr3:uid="{4EAE28D1-DAF2-427F-949F-14DC8D0182E0}" uniqueName="7" name="InsertPermission" queryTableFieldId="7" dataDxfId="91"/>
    <tableColumn id="8" xr3:uid="{7F7A5DFD-90D8-4870-8BE8-0B5F413DA483}" uniqueName="8" name="ModifyPermission" queryTableFieldId="8" dataDxfId="90"/>
    <tableColumn id="9" xr3:uid="{797AC0DA-2433-4886-B6D9-8A3932A07381}" uniqueName="9" name="DeletePermission" queryTableFieldId="9" dataDxfId="89"/>
    <tableColumn id="10" xr3:uid="{2DF14C58-6610-4B95-B7EF-A9CD378BECC1}" uniqueName="10" name="ExecutePermission" queryTableFieldId="10" dataDxfId="8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J2" totalsRowShown="0" headerRowDxfId="87">
  <autoFilter ref="A1:J2" xr:uid="{41D726F2-778D-4B1C-A5EA-875FED73D050}"/>
  <tableColumns count="10">
    <tableColumn id="1" xr3:uid="{21867904-D69E-41E3-B5BE-D9B124B8D7E4}" name="Company"/>
    <tableColumn id="2" xr3:uid="{21867904-D69E-41E3-B5BE-D9B124B8D7E4}" name="UserName" dataDxfId="86"/>
    <tableColumn id="3" xr3:uid="{21867904-D69E-41E3-B5BE-D9B124B8D7E4}" name="ObjectType" dataDxfId="85"/>
    <tableColumn id="4" xr3:uid="{21867904-D69E-41E3-B5BE-D9B124B8D7E4}" name="ObjectID" dataDxfId="84"/>
    <tableColumn id="5" xr3:uid="{21867904-D69E-41E3-B5BE-D9B124B8D7E4}" name="ObjectName" dataDxfId="83"/>
    <tableColumn id="6" xr3:uid="{21867904-D69E-41E3-B5BE-D9B124B8D7E4}" name="ReadPermission" dataDxfId="82"/>
    <tableColumn id="7" xr3:uid="{21867904-D69E-41E3-B5BE-D9B124B8D7E4}" name="InsertPermission" dataDxfId="81"/>
    <tableColumn id="8" xr3:uid="{21867904-D69E-41E3-B5BE-D9B124B8D7E4}" name="ModifyPermission" dataDxfId="80"/>
    <tableColumn id="9" xr3:uid="{21867904-D69E-41E3-B5BE-D9B124B8D7E4}" name="DeletePermission" dataDxfId="79"/>
    <tableColumn id="10" xr3:uid="{21867904-D69E-41E3-B5BE-D9B124B8D7E4}" name="ExecutePermission" dataDxfId="78"/>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77">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76">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75">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74">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C48A5-6236-46C0-95BF-B7DE42ADFC53}">
  <sheetPr>
    <pageSetUpPr fitToPage="1"/>
  </sheetPr>
  <dimension ref="A2:H8"/>
  <sheetViews>
    <sheetView showGridLines="0" tabSelected="1" workbookViewId="0"/>
  </sheetViews>
  <sheetFormatPr defaultRowHeight="21" x14ac:dyDescent="0.55000000000000004"/>
  <cols>
    <col min="1" max="1" width="9.08203125" style="12" customWidth="1"/>
    <col min="2" max="2" width="18.58203125" customWidth="1"/>
    <col min="3" max="3" width="32.58203125" customWidth="1"/>
    <col min="4" max="7" width="18.58203125" customWidth="1"/>
    <col min="8" max="8" width="25.58203125" customWidth="1"/>
  </cols>
  <sheetData>
    <row r="2" spans="2:8" ht="26.5" thickBot="1" x14ac:dyDescent="0.6">
      <c r="B2" s="8" t="s">
        <v>89</v>
      </c>
      <c r="C2" s="13"/>
      <c r="D2" s="13"/>
      <c r="E2" s="13"/>
      <c r="F2" s="13"/>
      <c r="G2" s="4"/>
      <c r="H2" s="9" t="str" cm="1">
        <f t="array" ref="H2">ReportRequest.CompanyName</f>
        <v>Company name Value</v>
      </c>
    </row>
    <row r="3" spans="2:8" ht="21.5" thickTop="1" x14ac:dyDescent="0.55000000000000004">
      <c r="B3" s="13"/>
      <c r="C3" s="13"/>
      <c r="D3" s="13"/>
      <c r="E3" s="13"/>
      <c r="F3" s="13"/>
      <c r="G3" s="4"/>
      <c r="H3" s="4"/>
    </row>
    <row r="4" spans="2:8" x14ac:dyDescent="0.55000000000000004">
      <c r="B4" s="5" t="e" cm="1">
        <f t="array" ref="B4">EffectivePermissionsFilterHeading</f>
        <v>#N/A</v>
      </c>
      <c r="C4" s="13"/>
      <c r="D4" s="13"/>
      <c r="E4" s="13"/>
      <c r="F4" s="13"/>
      <c r="G4" s="10" t="e" cm="1">
        <f t="array" ref="G4">Caption.DataRetrievedLbl</f>
        <v>#NAME?</v>
      </c>
      <c r="H4" s="11" t="str" cm="1">
        <f t="array" ref="H4">ReportRequest.DateLocal</f>
        <v>Date (Local) Value</v>
      </c>
    </row>
    <row r="5" spans="2:8" x14ac:dyDescent="0.55000000000000004">
      <c r="B5" s="5" t="e" cm="1">
        <f t="array" ref="B5">CompanyFilterHeading</f>
        <v>#N/A</v>
      </c>
      <c r="C5" s="13"/>
      <c r="D5" s="13"/>
      <c r="E5" s="13"/>
      <c r="F5" s="13"/>
      <c r="G5" s="13"/>
      <c r="H5" s="13"/>
    </row>
    <row r="6" spans="2:8" x14ac:dyDescent="0.55000000000000004">
      <c r="B6" s="13"/>
      <c r="C6" s="13"/>
      <c r="D6" s="13"/>
      <c r="E6" s="13"/>
      <c r="F6" s="13"/>
      <c r="G6" s="13"/>
      <c r="H6" s="13"/>
    </row>
    <row r="7" spans="2:8" x14ac:dyDescent="0.55000000000000004">
      <c r="B7" s="14" t="s">
        <v>82</v>
      </c>
      <c r="C7" s="14" t="s">
        <v>83</v>
      </c>
      <c r="D7" s="14" t="s">
        <v>84</v>
      </c>
      <c r="E7" s="14" t="s">
        <v>85</v>
      </c>
      <c r="F7" s="14" t="s">
        <v>86</v>
      </c>
      <c r="G7" s="14" t="s">
        <v>87</v>
      </c>
      <c r="H7" s="14" t="s">
        <v>88</v>
      </c>
    </row>
    <row r="8" spans="2:8" x14ac:dyDescent="0.55000000000000004">
      <c r="B8" s="4" t="s">
        <v>81</v>
      </c>
      <c r="C8" s="4"/>
      <c r="D8" s="4" t="s">
        <v>81</v>
      </c>
      <c r="E8" s="4" t="s">
        <v>81</v>
      </c>
      <c r="F8" s="4" t="s">
        <v>81</v>
      </c>
      <c r="G8" s="4" t="s">
        <v>81</v>
      </c>
      <c r="H8" s="4" t="s">
        <v>81</v>
      </c>
    </row>
  </sheetData>
  <printOptions horizontalCentered="1"/>
  <pageMargins left="0.23622047244094491" right="0.23622047244094491" top="0.74803149606299213" bottom="0.74803149606299213" header="0.31496062992125984" footer="0.31496062992125984"/>
  <pageSetup paperSize="9" scale="66"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615F7-BD43-4206-A4FD-8CB74082FD58}">
  <sheetPr>
    <pageSetUpPr fitToPage="1"/>
  </sheetPr>
  <dimension ref="A1:H2"/>
  <sheetViews>
    <sheetView showGridLines="0" workbookViewId="0"/>
  </sheetViews>
  <sheetFormatPr defaultRowHeight="21" x14ac:dyDescent="0.55000000000000004"/>
  <cols>
    <col min="1" max="1" width="26.25" style="12" customWidth="1"/>
    <col min="2" max="2" width="18.58203125" customWidth="1"/>
    <col min="3" max="3" width="32.58203125" customWidth="1"/>
    <col min="4" max="8" width="18.58203125" customWidth="1"/>
  </cols>
  <sheetData>
    <row r="1" spans="2:8" x14ac:dyDescent="0.55000000000000004">
      <c r="B1" s="14" t="s">
        <v>82</v>
      </c>
      <c r="C1" s="14" t="s">
        <v>83</v>
      </c>
      <c r="D1" s="14" t="s">
        <v>84</v>
      </c>
      <c r="E1" s="14" t="s">
        <v>85</v>
      </c>
      <c r="F1" s="14" t="s">
        <v>86</v>
      </c>
      <c r="G1" s="14" t="s">
        <v>87</v>
      </c>
      <c r="H1" s="14" t="s">
        <v>88</v>
      </c>
    </row>
    <row r="2" spans="2:8" x14ac:dyDescent="0.55000000000000004">
      <c r="B2" s="4" t="s">
        <v>81</v>
      </c>
      <c r="C2" s="4"/>
      <c r="D2" s="4" t="s">
        <v>81</v>
      </c>
      <c r="E2" s="4" t="s">
        <v>81</v>
      </c>
      <c r="F2" s="4" t="s">
        <v>81</v>
      </c>
      <c r="G2" s="4" t="s">
        <v>81</v>
      </c>
      <c r="H2" s="4" t="s">
        <v>81</v>
      </c>
    </row>
  </sheetData>
  <printOptions horizontalCentered="1"/>
  <pageMargins left="0.23622047244094491" right="0.23622047244094491" top="0.74803149606299213" bottom="0.74803149606299213" header="0.31496062992125984" footer="0.31496062992125984"/>
  <pageSetup paperSize="9" scale="66" fitToHeight="0"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28F7A-2CD9-4B1C-BCC5-6002D0B2BC86}">
  <dimension ref="A1:B8"/>
  <sheetViews>
    <sheetView showGridLines="0" workbookViewId="0"/>
  </sheetViews>
  <sheetFormatPr defaultRowHeight="20" customHeight="1" x14ac:dyDescent="0.45"/>
  <cols>
    <col min="1" max="1" width="18.83203125" customWidth="1"/>
    <col min="2" max="2" width="27.83203125" customWidth="1"/>
  </cols>
  <sheetData>
    <row r="1" spans="1:2" ht="20" customHeight="1" x14ac:dyDescent="0.45">
      <c r="A1" s="3" t="s">
        <v>75</v>
      </c>
      <c r="B1" s="5" t="str" cm="1">
        <f t="array" ref="B1">ReportRequest.EnvironmentName</f>
        <v>Environment name Value</v>
      </c>
    </row>
    <row r="2" spans="1:2" ht="20" customHeight="1" x14ac:dyDescent="0.45">
      <c r="A2" s="3" t="s">
        <v>76</v>
      </c>
      <c r="B2" s="5" t="str" cm="1">
        <f t="array" ref="B2">ReportRequest.CompanyName</f>
        <v>Company name Value</v>
      </c>
    </row>
    <row r="3" spans="1:2" ht="20" customHeight="1" x14ac:dyDescent="0.45">
      <c r="A3" s="3" t="s">
        <v>77</v>
      </c>
      <c r="B3" s="5" t="str" cm="1">
        <f t="array" ref="B3">ReportRequest.UserName</f>
        <v>User name Value</v>
      </c>
    </row>
    <row r="4" spans="1:2" ht="20" customHeight="1" x14ac:dyDescent="0.45">
      <c r="A4" s="3" t="s">
        <v>78</v>
      </c>
      <c r="B4" s="6" t="str" cm="1">
        <f t="array" ref="B4">ReportRequest.DateLocal</f>
        <v>Date (Local) Value</v>
      </c>
    </row>
    <row r="5" spans="1:2" ht="20" customHeight="1" x14ac:dyDescent="0.45">
      <c r="A5" s="3"/>
      <c r="B5" s="7" t="str" cm="1">
        <f t="array" ref="B5">ReportRequest.DateLocal</f>
        <v>Date (Local) Value</v>
      </c>
    </row>
    <row r="6" spans="1:2" ht="20" customHeight="1" x14ac:dyDescent="0.45">
      <c r="A6" s="3" t="s">
        <v>79</v>
      </c>
      <c r="B6" s="5" t="str" cm="1">
        <f t="array" ref="B6">ReportMetadata.ObjectCaption</f>
        <v>Object Caption Value</v>
      </c>
    </row>
    <row r="7" spans="1:2" ht="20" customHeight="1" x14ac:dyDescent="0.45">
      <c r="A7" s="3" t="s">
        <v>80</v>
      </c>
      <c r="B7" s="15" t="str">
        <f>HYPERLINK(_xlfn.CONCAT("https://learn.microsoft.com/dynamics365/business-central/reports/report-",ReportMetadata.ObjectID))</f>
        <v>https://learn.microsoft.com/dynamics365/business-central/reports/report-Object ID Value</v>
      </c>
    </row>
    <row r="8" spans="1:2" ht="20" customHeight="1" x14ac:dyDescent="0.45">
      <c r="A8" s="3"/>
      <c r="B8" s="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CBFAB-CE2B-4923-B205-CA30788C8B87}">
  <dimension ref="A1:J2"/>
  <sheetViews>
    <sheetView workbookViewId="0">
      <selection activeCell="A2" sqref="A2"/>
    </sheetView>
  </sheetViews>
  <sheetFormatPr defaultRowHeight="16.5" x14ac:dyDescent="0.45"/>
  <cols>
    <col min="1" max="1" width="11.1640625" customWidth="1"/>
    <col min="2" max="2" width="12" bestFit="1" customWidth="1"/>
    <col min="3" max="3" width="13" bestFit="1" customWidth="1"/>
    <col min="4" max="4" width="10.6640625" bestFit="1" customWidth="1"/>
    <col min="5" max="5" width="13.83203125" bestFit="1" customWidth="1"/>
    <col min="6" max="6" width="16.83203125" bestFit="1" customWidth="1"/>
    <col min="7" max="7" width="17.5" bestFit="1" customWidth="1"/>
    <col min="8" max="8" width="18.6640625" bestFit="1" customWidth="1"/>
    <col min="9" max="9" width="18.08203125" bestFit="1" customWidth="1"/>
    <col min="10" max="10" width="19.33203125" bestFit="1" customWidth="1"/>
  </cols>
  <sheetData>
    <row r="1" spans="1:10" x14ac:dyDescent="0.45">
      <c r="A1" t="s">
        <v>64</v>
      </c>
      <c r="B1" t="s">
        <v>65</v>
      </c>
      <c r="C1" t="s">
        <v>66</v>
      </c>
      <c r="D1" t="s">
        <v>67</v>
      </c>
      <c r="E1" t="s">
        <v>68</v>
      </c>
      <c r="F1" t="s">
        <v>69</v>
      </c>
      <c r="G1" t="s">
        <v>70</v>
      </c>
      <c r="H1" t="s">
        <v>71</v>
      </c>
      <c r="I1" t="s">
        <v>72</v>
      </c>
      <c r="J1" t="s">
        <v>73</v>
      </c>
    </row>
    <row r="2" spans="1:10" x14ac:dyDescent="0.45">
      <c r="A2" t="s">
        <v>74</v>
      </c>
      <c r="B2" t="s">
        <v>74</v>
      </c>
      <c r="D2">
        <v>0</v>
      </c>
      <c r="E2" t="s">
        <v>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workbookViewId="0">
      <pane ySplit="1" topLeftCell="A2" activePane="bottomLeft" state="frozen"/>
      <selection activeCell="A2" sqref="A2"/>
      <selection pane="bottomLeft" activeCell="A2" sqref="A2"/>
    </sheetView>
  </sheetViews>
  <sheetFormatPr defaultRowHeight="16.5" x14ac:dyDescent="0.45"/>
  <cols>
    <col min="1" max="1" width="18.4140625" customWidth="1"/>
  </cols>
  <sheetData>
    <row r="1" spans="1:10" x14ac:dyDescent="0.45">
      <c r="A1" t="s">
        <v>64</v>
      </c>
      <c r="B1" t="s">
        <v>65</v>
      </c>
      <c r="C1" t="s">
        <v>66</v>
      </c>
      <c r="D1" t="s">
        <v>67</v>
      </c>
      <c r="E1" t="s">
        <v>68</v>
      </c>
      <c r="F1" t="s">
        <v>69</v>
      </c>
      <c r="G1" t="s">
        <v>70</v>
      </c>
      <c r="H1" t="s">
        <v>71</v>
      </c>
      <c r="I1" t="s">
        <v>72</v>
      </c>
      <c r="J1" t="s">
        <v>73</v>
      </c>
    </row>
    <row r="2" spans="1:10" x14ac:dyDescent="0.45">
      <c r="A2" t="s">
        <v>74</v>
      </c>
      <c r="B2" t="s">
        <v>74</v>
      </c>
      <c r="D2" s="2">
        <v>0</v>
      </c>
      <c r="E2" t="s">
        <v>74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5" x14ac:dyDescent="0.45"/>
  <cols>
    <col min="1" max="1" width="16.9140625" customWidth="1"/>
    <col min="2" max="2" width="11.4140625" customWidth="1"/>
  </cols>
  <sheetData>
    <row r="1" spans="1:3" x14ac:dyDescent="0.45">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
    </sheetView>
  </sheetViews>
  <sheetFormatPr defaultRowHeight="16.5" x14ac:dyDescent="0.45"/>
  <cols>
    <col min="1" max="1" width="10.1640625" customWidth="1"/>
    <col min="2" max="2" width="17.4140625" customWidth="1"/>
  </cols>
  <sheetData>
    <row r="1" spans="1:2" x14ac:dyDescent="0.45">
      <c r="A1" t="s">
        <v>3</v>
      </c>
      <c r="B1" t="s">
        <v>1</v>
      </c>
    </row>
    <row r="2" spans="1:2" x14ac:dyDescent="0.45">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election activeCell="A2" sqref="A2"/>
    </sheetView>
  </sheetViews>
  <sheetFormatPr defaultRowHeight="16.5" x14ac:dyDescent="0.45"/>
  <cols>
    <col min="1" max="1" width="25.6640625" customWidth="1"/>
    <col min="2" max="2" width="40.6640625" customWidth="1"/>
    <col min="3" max="3" width="5.6640625" customWidth="1"/>
    <col min="4" max="4" width="25.6640625" customWidth="1"/>
    <col min="5" max="5" width="40.6640625" customWidth="1"/>
    <col min="6" max="6" width="5.6640625" customWidth="1"/>
    <col min="7" max="7" width="25.6640625" customWidth="1"/>
    <col min="8" max="8" width="40.6640625" customWidth="1"/>
    <col min="9" max="9" width="5.6640625" customWidth="1"/>
    <col min="10" max="10" width="40.6640625" customWidth="1"/>
    <col min="11" max="11" width="25.6640625" customWidth="1"/>
  </cols>
  <sheetData>
    <row r="1" spans="1:11" x14ac:dyDescent="0.45">
      <c r="A1" s="1" t="s">
        <v>6</v>
      </c>
      <c r="B1" s="1" t="s">
        <v>7</v>
      </c>
      <c r="D1" s="1" t="s">
        <v>26</v>
      </c>
      <c r="E1" s="1" t="s">
        <v>27</v>
      </c>
      <c r="G1" s="1" t="s">
        <v>4</v>
      </c>
      <c r="H1" s="1" t="s">
        <v>5</v>
      </c>
      <c r="J1" s="1" t="s">
        <v>45</v>
      </c>
      <c r="K1" s="1" t="s">
        <v>46</v>
      </c>
    </row>
    <row r="2" spans="1:11" x14ac:dyDescent="0.45">
      <c r="A2" t="s">
        <v>8</v>
      </c>
      <c r="B2" t="s">
        <v>9</v>
      </c>
      <c r="D2" t="s">
        <v>48</v>
      </c>
      <c r="E2" t="s">
        <v>49</v>
      </c>
      <c r="G2" t="s">
        <v>4</v>
      </c>
      <c r="H2" t="s">
        <v>5</v>
      </c>
      <c r="J2" t="s">
        <v>45</v>
      </c>
      <c r="K2" t="s">
        <v>46</v>
      </c>
    </row>
    <row r="3" spans="1:11" x14ac:dyDescent="0.45">
      <c r="A3" t="s">
        <v>10</v>
      </c>
      <c r="B3" t="s">
        <v>11</v>
      </c>
      <c r="D3" t="s">
        <v>28</v>
      </c>
      <c r="E3" t="s">
        <v>29</v>
      </c>
    </row>
    <row r="4" spans="1:11" x14ac:dyDescent="0.45">
      <c r="A4" t="s">
        <v>12</v>
      </c>
      <c r="B4" t="s">
        <v>13</v>
      </c>
      <c r="D4" t="s">
        <v>30</v>
      </c>
      <c r="E4" t="s">
        <v>31</v>
      </c>
    </row>
    <row r="5" spans="1:11" x14ac:dyDescent="0.45">
      <c r="A5" t="s">
        <v>14</v>
      </c>
      <c r="B5" t="s">
        <v>15</v>
      </c>
      <c r="D5" t="s">
        <v>32</v>
      </c>
      <c r="E5" t="s">
        <v>33</v>
      </c>
    </row>
    <row r="6" spans="1:11" x14ac:dyDescent="0.45">
      <c r="A6" t="s">
        <v>16</v>
      </c>
      <c r="B6" t="s">
        <v>17</v>
      </c>
      <c r="D6" t="s">
        <v>34</v>
      </c>
      <c r="E6" t="s">
        <v>35</v>
      </c>
    </row>
    <row r="7" spans="1:11" x14ac:dyDescent="0.45">
      <c r="A7" t="s">
        <v>18</v>
      </c>
      <c r="B7" t="s">
        <v>19</v>
      </c>
      <c r="D7" t="s">
        <v>50</v>
      </c>
      <c r="E7" t="s">
        <v>51</v>
      </c>
    </row>
    <row r="8" spans="1:11" x14ac:dyDescent="0.45">
      <c r="A8" t="s">
        <v>58</v>
      </c>
      <c r="B8" t="s">
        <v>59</v>
      </c>
      <c r="D8" t="s">
        <v>36</v>
      </c>
      <c r="E8" t="s">
        <v>37</v>
      </c>
    </row>
    <row r="9" spans="1:11" x14ac:dyDescent="0.45">
      <c r="A9" t="s">
        <v>20</v>
      </c>
      <c r="B9" t="s">
        <v>21</v>
      </c>
      <c r="D9" t="s">
        <v>38</v>
      </c>
      <c r="E9" t="s">
        <v>39</v>
      </c>
    </row>
    <row r="10" spans="1:11" x14ac:dyDescent="0.45">
      <c r="A10" t="s">
        <v>22</v>
      </c>
      <c r="B10" t="s">
        <v>23</v>
      </c>
      <c r="D10" t="s">
        <v>40</v>
      </c>
      <c r="E10" t="s">
        <v>41</v>
      </c>
    </row>
    <row r="11" spans="1:11" x14ac:dyDescent="0.45">
      <c r="A11" t="s">
        <v>24</v>
      </c>
      <c r="B11" t="s">
        <v>25</v>
      </c>
      <c r="D11" t="s">
        <v>60</v>
      </c>
      <c r="E11" t="s">
        <v>61</v>
      </c>
    </row>
    <row r="12" spans="1:11" x14ac:dyDescent="0.45">
      <c r="D12" t="s">
        <v>62</v>
      </c>
      <c r="E12" t="s">
        <v>63</v>
      </c>
    </row>
    <row r="13" spans="1:11" x14ac:dyDescent="0.45">
      <c r="D13" t="s">
        <v>0</v>
      </c>
      <c r="E13" t="s">
        <v>42</v>
      </c>
    </row>
    <row r="14" spans="1:11" x14ac:dyDescent="0.45">
      <c r="D14" t="s">
        <v>43</v>
      </c>
      <c r="E14" t="s">
        <v>44</v>
      </c>
    </row>
    <row r="15" spans="1:11" x14ac:dyDescent="0.45">
      <c r="D15" t="s">
        <v>52</v>
      </c>
      <c r="E15" t="s">
        <v>53</v>
      </c>
    </row>
    <row r="16" spans="1:11" x14ac:dyDescent="0.45">
      <c r="D16" t="s">
        <v>54</v>
      </c>
      <c r="E16" t="s">
        <v>55</v>
      </c>
    </row>
    <row r="17" spans="4:5" x14ac:dyDescent="0.45">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31E61A-7227-45E5-9A18-A938EE2B4F8F}">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$EffectPermsOverviewPrintLbl$</vt:lpstr>
      <vt:lpstr>$EffectPermOverviewAnalysisLbl$</vt:lpstr>
      <vt:lpstr>$AboutTheReportLbl$</vt:lpstr>
      <vt:lpstr>EffectivePermissionsOverview_Qu</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Dan Williams</cp:lastModifiedBy>
  <cp:lastPrinted>2026-10-29T05:58:29Z</cp:lastPrinted>
  <dcterms:modified xsi:type="dcterms:W3CDTF">2026-10-30T04:30:48Z</dcterms:modified>
</cp:coreProperties>
</file>